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shboard\Coop_Dashboard_Data_Structure\"/>
    </mc:Choice>
  </mc:AlternateContent>
  <xr:revisionPtr revIDLastSave="0" documentId="13_ncr:1_{8701D465-CF7F-4B4A-A8DF-F368EF2918B7}" xr6:coauthVersionLast="47" xr6:coauthVersionMax="47" xr10:uidLastSave="{00000000-0000-0000-0000-000000000000}"/>
  <bookViews>
    <workbookView xWindow="-120" yWindow="0" windowWidth="17850" windowHeight="8730" firstSheet="2" activeTab="2" xr2:uid="{00000000-000D-0000-FFFF-FFFF00000000}"/>
  </bookViews>
  <sheets>
    <sheet name="Financial_Data" sheetId="1" r:id="rId1"/>
    <sheet name="Member_Data" sheetId="3" r:id="rId2"/>
    <sheet name="Fund_Data" sheetId="2" r:id="rId3"/>
    <sheet name="Profit_Allocation" sheetId="4" r:id="rId4"/>
  </sheets>
  <calcPr calcId="191029"/>
</workbook>
</file>

<file path=xl/calcChain.xml><?xml version="1.0" encoding="utf-8"?>
<calcChain xmlns="http://schemas.openxmlformats.org/spreadsheetml/2006/main">
  <c r="E9" i="4" l="1"/>
  <c r="E12" i="4"/>
  <c r="C12" i="4"/>
  <c r="E11" i="4"/>
  <c r="C11" i="4"/>
  <c r="C9" i="4"/>
  <c r="E8" i="4"/>
  <c r="C8" i="4"/>
  <c r="L16" i="3"/>
  <c r="K16" i="3"/>
  <c r="J16" i="3"/>
  <c r="I16" i="3"/>
  <c r="F16" i="3"/>
  <c r="K15" i="3"/>
  <c r="J15" i="3"/>
  <c r="I15" i="3"/>
  <c r="F15" i="3"/>
  <c r="L15" i="3" s="1"/>
  <c r="L14" i="3"/>
  <c r="K14" i="3"/>
  <c r="J14" i="3"/>
  <c r="I14" i="3"/>
  <c r="F14" i="3"/>
  <c r="L13" i="3"/>
  <c r="K13" i="3"/>
  <c r="J13" i="3"/>
  <c r="I13" i="3"/>
  <c r="F13" i="3"/>
  <c r="K12" i="3"/>
  <c r="J12" i="3"/>
  <c r="I12" i="3"/>
  <c r="F12" i="3"/>
  <c r="L12" i="3" s="1"/>
  <c r="K11" i="3"/>
  <c r="J11" i="3"/>
  <c r="I11" i="3"/>
  <c r="F11" i="3"/>
  <c r="L11" i="3" s="1"/>
  <c r="K10" i="3"/>
  <c r="J10" i="3"/>
  <c r="I10" i="3"/>
  <c r="F10" i="3"/>
  <c r="L10" i="3" s="1"/>
  <c r="L9" i="3"/>
  <c r="K9" i="3"/>
  <c r="J9" i="3"/>
  <c r="I9" i="3"/>
  <c r="F9" i="3"/>
  <c r="K8" i="3"/>
  <c r="J8" i="3"/>
  <c r="I8" i="3"/>
  <c r="F8" i="3"/>
  <c r="L8" i="3" s="1"/>
  <c r="K7" i="3"/>
  <c r="J7" i="3"/>
  <c r="I7" i="3"/>
  <c r="L7" i="3" s="1"/>
  <c r="F7" i="3"/>
  <c r="K6" i="3"/>
  <c r="J6" i="3"/>
  <c r="I6" i="3"/>
  <c r="F6" i="3"/>
  <c r="L6" i="3" s="1"/>
  <c r="K5" i="3"/>
  <c r="J5" i="3"/>
  <c r="I5" i="3"/>
  <c r="F5" i="3"/>
  <c r="L5" i="3" s="1"/>
</calcChain>
</file>

<file path=xl/sharedStrings.xml><?xml version="1.0" encoding="utf-8"?>
<sst xmlns="http://schemas.openxmlformats.org/spreadsheetml/2006/main" count="80" uniqueCount="58">
  <si>
    <t>ตารางบันทึกข้อมูลฐานะทางการเงินและผลการดำเนินงานรายเดือน</t>
  </si>
  <si>
    <t>สหกรณ์ออมทรัพย์ (สำหรับนำไปเชื่อมต่อ Looker Studio / Dashboard)</t>
  </si>
  <si>
    <t>ปี (พ.ศ.)</t>
  </si>
  <si>
    <t>เดือน (ตัวเลข)</t>
  </si>
  <si>
    <t>ชื่อเดือน</t>
  </si>
  <si>
    <t>สินทรัพย์รวม (บาท)</t>
  </si>
  <si>
    <t>หนี้สินรวม (บาท)</t>
  </si>
  <si>
    <t>ทุนรวม (บาท)</t>
  </si>
  <si>
    <t>รายได้รวม (บาท)</t>
  </si>
  <si>
    <t>ค่าใช้จ่ายรวม (บาท)</t>
  </si>
  <si>
    <t>กำไรสุทธิ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</si>
  <si>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</si>
  <si>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</si>
  <si>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</si>
  <si>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</si>
  <si>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</si>
  <si>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</si>
  <si>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</si>
  <si>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</si>
  <si>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</si>
  <si>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</si>
  <si>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</si>
  <si>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</si>
  <si>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ตารางบันทึกการใช้ทุนสะสมและสวัสดิการรายเดือน (รายละเอียดรายกองทุน)</t>
  </si>
  <si>
    <t>เก็บข้อมูลทุนยกมา ทุนใช้ไป ทุนคงเหลือ และ % การใช้ทุน เพื่อนำไปแสดงใน Dashboard</t>
  </si>
  <si>
    <t>ปี</t>
  </si>
  <si>
    <t>เดือน</t>
  </si>
  <si>
    <t>ชื่อกองทุน / สวัสดิการ</t>
  </si>
  <si>
    <t>ทุนสะสมยกมา (บาท)</t>
  </si>
  <si>
    <t>ทุนสะสมใช้ไป (บาท)</t>
  </si>
  <si>
    <t>ทุนสะสมคงเหลือ (บาท)</t>
  </si>
  <si>
    <t>ร้อยละการใช้ทุน (%)</t>
  </si>
  <si>
    <t>ตารางบันทึกสถิติจำนวนสมาชิกรายเดือน</t>
  </si>
  <si>
    <t>แยกตามประเภทสมาชิก (สามัญ/สมทบ) และเพศ (ชาย/หญิง)</t>
  </si>
  <si>
    <t>สมาชิกสามัญ (ชาย)</t>
  </si>
  <si>
    <t>สมาชิกสามัญ (หญิง)</t>
  </si>
  <si>
    <t>รวมสมาชิกสามัญ</t>
  </si>
  <si>
    <t>สมาชิกสมทบ (ชาย)</t>
  </si>
  <si>
    <t>สมาชิกสมทบ (หญิง)</t>
  </si>
  <si>
    <t>รวมสมาชิกสมทบ</t>
  </si>
  <si>
    <t>รวมชายทั้งหมด</t>
  </si>
  <si>
    <t>รวมหญิงทั้งหมด</t>
  </si>
  <si>
    <t>จำนวนสมาชิกรวมทั้งสิ้น</t>
  </si>
  <si>
    <t>ตารางแผนจัดสรรกำไรสุทธิประจำปี (ตาม พ.ร.บ. สหกรณ์ และข้อบังคับ)</t>
  </si>
  <si>
    <t>เปรียบเทียบยอดจัดสรรกำไรสุทธิ และคำนวณสัดส่วนร้อยละ (%)</t>
  </si>
  <si>
    <t>รายการจัดสรรกำไรสุทธิ</t>
  </si>
  <si>
    <t>ปี 2568</t>
  </si>
  <si>
    <t>ปี 2567</t>
  </si>
  <si>
    <t>จำนวนเงิน (บาท)</t>
  </si>
  <si>
    <t>ร้อยละ (%)</t>
  </si>
  <si>
    <t>3. ทุนสาธารณประโยชน์ ไม่เกินร้อยละ 10 ของกำไรสุทธิ</t>
  </si>
  <si>
    <t>4. ทุนศึกษาอบรมสหกรณ์ ไม่เกินร้อยละ 10 ของกำไรสุทธิ</t>
  </si>
  <si>
    <t>6. กองทุนสวัสดิการสมาชิก</t>
  </si>
  <si>
    <t>7. กองทุนเพื่อพัฒนาสำนักงาน</t>
  </si>
  <si>
    <t>1.กองทุนสวัสดิการ และการสงเคราะห์แก่สมาชิก</t>
  </si>
  <si>
    <t>2. กองทุนเพื่อพัฒนาสำนักงาน</t>
  </si>
  <si>
    <t>3. ทุนศึกษาอบรมสหกรณ์ ไม่เกินร้อยละ 10 ของกำไรสุทธิ</t>
  </si>
  <si>
    <t>5. ทุนสาธารณประโยชน์ ไม่เกินร้อยละ 10 ของกำไรสุทธิ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</si>
</sst>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C41" sqref="C41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1" customWidth="1"/>
    <col min="6" max="6" width="18" customWidth="1"/>
    <col min="7" max="7" width="20" customWidth="1"/>
    <col min="8" max="8" width="24" customWidth="1"/>
    <col min="9" max="9" width="20" customWidth="1"/>
  </cols>
  <sheetData>
    <row r="1" spans="1:9" ht="21" x14ac:dyDescent="0.35">
      <c r="A1" s="1" t="s">
        <v>0</v>
      </c>
    </row>
    <row r="2" spans="1:9" x14ac:dyDescent="0.25">
      <c r="A2" s="2" t="s">
        <v>1</v>
      </c>
    </row>
    <row r="4" spans="1:9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3.25" customHeight="1" x14ac:dyDescent="0.25">
      <c r="A5" s="4">
        <v>2569</v>
      </c>
      <c r="B5" s="4">
        <v>1</v>
      </c>
      <c r="C5" s="5" t="s">
        <v>11</v>
      </c>
      <c r="D5" s="6"/>
      <c r="E5" s="6"/>
      <c r="F5" s="6"/>
      <c r="G5" s="6"/>
      <c r="H5" s="6"/>
      <c r="I5" s="6"/>
    </row>
    <row r="6" spans="1:9" ht="23.25" customHeight="1" x14ac:dyDescent="0.25">
      <c r="A6" s="4">
        <v>2569</v>
      </c>
      <c r="B6" s="4">
        <v>2</v>
      </c>
      <c r="C6" s="5" t="s">
        <v>12</v>
      </c>
      <c r="D6" s="6"/>
      <c r="E6" s="6"/>
      <c r="F6" s="6"/>
      <c r="G6" s="6"/>
      <c r="H6" s="6"/>
      <c r="I6" s="6"/>
    </row>
    <row r="7" spans="1:9" ht="23.25" customHeight="1" x14ac:dyDescent="0.25">
      <c r="A7" s="4">
        <v>2569</v>
      </c>
      <c r="B7" s="4">
        <v>3</v>
      </c>
      <c r="C7" s="5" t="s">
        <v>13</v>
      </c>
      <c r="D7" s="6"/>
      <c r="E7" s="6"/>
      <c r="F7" s="6"/>
      <c r="G7" s="6"/>
      <c r="H7" s="6"/>
      <c r="I7" s="6"/>
    </row>
    <row r="8" spans="1:9" ht="23.25" customHeight="1" x14ac:dyDescent="0.25">
      <c r="A8" s="4">
        <v>2569</v>
      </c>
      <c r="B8" s="4">
        <v>4</v>
      </c>
      <c r="C8" s="5" t="s">
        <v>14</v>
      </c>
      <c r="D8" s="6"/>
      <c r="E8" s="6"/>
      <c r="F8" s="6"/>
      <c r="G8" s="6"/>
      <c r="H8" s="6"/>
      <c r="I8" s="6"/>
    </row>
    <row r="9" spans="1:9" ht="23.25" customHeight="1" x14ac:dyDescent="0.25">
      <c r="A9" s="4">
        <v>2569</v>
      </c>
      <c r="B9" s="4">
        <v>5</v>
      </c>
      <c r="C9" s="5" t="s">
        <v>15</v>
      </c>
      <c r="D9" s="6"/>
      <c r="E9" s="6"/>
      <c r="F9" s="6"/>
      <c r="G9" s="6"/>
      <c r="H9" s="6"/>
      <c r="I9" s="6"/>
    </row>
    <row r="10" spans="1:9" ht="23.25" customHeight="1" x14ac:dyDescent="0.25">
      <c r="A10" s="4">
        <v>2569</v>
      </c>
      <c r="B10" s="4">
        <v>6</v>
      </c>
      <c r="C10" s="5" t="s">
        <v>16</v>
      </c>
      <c r="D10" s="6"/>
      <c r="E10" s="6"/>
      <c r="F10" s="6"/>
      <c r="G10" s="6"/>
      <c r="H10" s="6"/>
      <c r="I10" s="6"/>
    </row>
    <row r="11" spans="1:9" ht="23.25" customHeight="1" x14ac:dyDescent="0.25">
      <c r="A11" s="4">
        <v>2569</v>
      </c>
      <c r="B11" s="4">
        <v>7</v>
      </c>
      <c r="C11" s="5" t="s">
        <v>17</v>
      </c>
      <c r="D11" s="6"/>
      <c r="E11" s="6"/>
      <c r="F11" s="6"/>
      <c r="G11" s="6"/>
      <c r="H11" s="6"/>
      <c r="I11" s="6"/>
    </row>
    <row r="12" spans="1:9" ht="23.25" customHeight="1" x14ac:dyDescent="0.25">
      <c r="A12" s="4">
        <v>2569</v>
      </c>
      <c r="B12" s="4">
        <v>8</v>
      </c>
      <c r="C12" s="5" t="s">
        <v>18</v>
      </c>
      <c r="D12" s="6"/>
      <c r="E12" s="6"/>
      <c r="F12" s="6"/>
      <c r="G12" s="6"/>
      <c r="H12" s="6"/>
      <c r="I12" s="6"/>
    </row>
    <row r="13" spans="1:9" ht="23.25" customHeight="1" x14ac:dyDescent="0.25">
      <c r="A13" s="4">
        <v>2569</v>
      </c>
      <c r="B13" s="4">
        <v>9</v>
      </c>
      <c r="C13" s="5" t="s">
        <v>19</v>
      </c>
      <c r="D13" s="6"/>
      <c r="E13" s="6"/>
      <c r="F13" s="6"/>
      <c r="G13" s="6"/>
      <c r="H13" s="6"/>
      <c r="I13" s="6"/>
    </row>
    <row r="14" spans="1:9" ht="23.25" customHeight="1" x14ac:dyDescent="0.25">
      <c r="A14" s="4">
        <v>2569</v>
      </c>
      <c r="B14" s="4">
        <v>10</v>
      </c>
      <c r="C14" s="5" t="s">
        <v>20</v>
      </c>
      <c r="D14" s="6"/>
      <c r="E14" s="6"/>
      <c r="F14" s="6"/>
      <c r="G14" s="6"/>
      <c r="H14" s="6"/>
      <c r="I14" s="6"/>
    </row>
    <row r="15" spans="1:9" ht="23.25" customHeight="1" x14ac:dyDescent="0.25">
      <c r="A15" s="4">
        <v>2569</v>
      </c>
      <c r="B15" s="4">
        <v>11</v>
      </c>
      <c r="C15" s="5" t="s">
        <v>21</v>
      </c>
      <c r="D15" s="6"/>
      <c r="E15" s="6"/>
      <c r="F15" s="6"/>
      <c r="G15" s="6"/>
      <c r="H15" s="6"/>
      <c r="I15" s="6"/>
    </row>
    <row r="16" spans="1:9" ht="23.25" customHeight="1" x14ac:dyDescent="0.25">
      <c r="A16" s="4">
        <v>2569</v>
      </c>
      <c r="B16" s="4">
        <v>12</v>
      </c>
      <c r="C16" s="5" t="s">
        <v>22</v>
      </c>
      <c r="D16" s="6"/>
      <c r="E16" s="6"/>
      <c r="F16" s="6"/>
      <c r="G16" s="6"/>
      <c r="H16" s="6"/>
      <c r="I16" s="6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D12" sqref="D12"/>
    </sheetView>
  </sheetViews>
  <sheetFormatPr defaultRowHeight="15" x14ac:dyDescent="0.25"/>
  <cols>
    <col min="1" max="2" width="14" customWidth="1"/>
    <col min="3" max="3" width="15" customWidth="1"/>
    <col min="4" max="4" width="22" customWidth="1"/>
    <col min="5" max="5" width="23" customWidth="1"/>
    <col min="6" max="6" width="19" customWidth="1"/>
    <col min="7" max="7" width="21" customWidth="1"/>
    <col min="8" max="8" width="22" customWidth="1"/>
    <col min="9" max="10" width="18" customWidth="1"/>
    <col min="11" max="11" width="19" customWidth="1"/>
    <col min="12" max="12" width="27" customWidth="1"/>
  </cols>
  <sheetData>
    <row r="1" spans="1:12" ht="21" x14ac:dyDescent="0.35">
      <c r="A1" s="1" t="s">
        <v>32</v>
      </c>
    </row>
    <row r="2" spans="1:12" x14ac:dyDescent="0.25">
      <c r="A2" s="2" t="s">
        <v>33</v>
      </c>
    </row>
    <row r="4" spans="1:12" ht="27.95" customHeight="1" x14ac:dyDescent="0.25">
      <c r="A4" s="3" t="s">
        <v>25</v>
      </c>
      <c r="B4" s="3" t="s">
        <v>26</v>
      </c>
      <c r="C4" s="3" t="s">
        <v>4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</row>
    <row r="5" spans="1:12" x14ac:dyDescent="0.25">
      <c r="A5" s="4">
        <v>2569</v>
      </c>
      <c r="B5" s="4">
        <v>1</v>
      </c>
      <c r="C5" s="5" t="s">
        <v>11</v>
      </c>
      <c r="D5" s="8">
        <v>641</v>
      </c>
      <c r="E5" s="8">
        <v>2653</v>
      </c>
      <c r="F5" s="8">
        <f t="shared" ref="F5:F16" si="0">D5+E5</f>
        <v>3294</v>
      </c>
      <c r="G5" s="8">
        <v>481</v>
      </c>
      <c r="H5" s="8">
        <v>361</v>
      </c>
      <c r="I5" s="8">
        <f t="shared" ref="I5:I16" si="1">G5+H5</f>
        <v>842</v>
      </c>
      <c r="J5" s="8">
        <f t="shared" ref="J5:J16" si="2">D5+G5</f>
        <v>1122</v>
      </c>
      <c r="K5" s="8">
        <f t="shared" ref="K5:K16" si="3">E5+H5</f>
        <v>3014</v>
      </c>
      <c r="L5" s="8">
        <f t="shared" ref="L5:L16" si="4">F5+I5</f>
        <v>4136</v>
      </c>
    </row>
    <row r="6" spans="1:12" x14ac:dyDescent="0.25">
      <c r="A6" s="4">
        <v>2569</v>
      </c>
      <c r="B6" s="4">
        <v>2</v>
      </c>
      <c r="C6" s="5" t="s">
        <v>12</v>
      </c>
      <c r="D6" s="8">
        <v>642</v>
      </c>
      <c r="E6" s="8">
        <v>2656</v>
      </c>
      <c r="F6" s="8">
        <f t="shared" si="0"/>
        <v>3298</v>
      </c>
      <c r="G6" s="8">
        <v>482</v>
      </c>
      <c r="H6" s="8">
        <v>362</v>
      </c>
      <c r="I6" s="8">
        <f t="shared" si="1"/>
        <v>844</v>
      </c>
      <c r="J6" s="8">
        <f t="shared" si="2"/>
        <v>1124</v>
      </c>
      <c r="K6" s="8">
        <f t="shared" si="3"/>
        <v>3018</v>
      </c>
      <c r="L6" s="8">
        <f t="shared" si="4"/>
        <v>4142</v>
      </c>
    </row>
    <row r="7" spans="1:12" x14ac:dyDescent="0.25">
      <c r="A7" s="4">
        <v>2569</v>
      </c>
      <c r="B7" s="4">
        <v>3</v>
      </c>
      <c r="C7" s="5" t="s">
        <v>13</v>
      </c>
      <c r="D7" s="8">
        <v>643</v>
      </c>
      <c r="E7" s="8">
        <v>2659</v>
      </c>
      <c r="F7" s="8">
        <f t="shared" si="0"/>
        <v>3302</v>
      </c>
      <c r="G7" s="8">
        <v>483</v>
      </c>
      <c r="H7" s="8">
        <v>363</v>
      </c>
      <c r="I7" s="8">
        <f t="shared" si="1"/>
        <v>846</v>
      </c>
      <c r="J7" s="8">
        <f t="shared" si="2"/>
        <v>1126</v>
      </c>
      <c r="K7" s="8">
        <f t="shared" si="3"/>
        <v>3022</v>
      </c>
      <c r="L7" s="8">
        <f t="shared" si="4"/>
        <v>4148</v>
      </c>
    </row>
    <row r="8" spans="1:12" x14ac:dyDescent="0.25">
      <c r="A8" s="4">
        <v>2569</v>
      </c>
      <c r="B8" s="4">
        <v>4</v>
      </c>
      <c r="C8" s="5" t="s">
        <v>14</v>
      </c>
      <c r="D8" s="8">
        <v>644</v>
      </c>
      <c r="E8" s="8">
        <v>2662</v>
      </c>
      <c r="F8" s="8">
        <f t="shared" si="0"/>
        <v>3306</v>
      </c>
      <c r="G8" s="8">
        <v>484</v>
      </c>
      <c r="H8" s="8">
        <v>364</v>
      </c>
      <c r="I8" s="8">
        <f t="shared" si="1"/>
        <v>848</v>
      </c>
      <c r="J8" s="8">
        <f t="shared" si="2"/>
        <v>1128</v>
      </c>
      <c r="K8" s="8">
        <f t="shared" si="3"/>
        <v>3026</v>
      </c>
      <c r="L8" s="8">
        <f t="shared" si="4"/>
        <v>4154</v>
      </c>
    </row>
    <row r="9" spans="1:12" x14ac:dyDescent="0.25">
      <c r="A9" s="4">
        <v>2569</v>
      </c>
      <c r="B9" s="4">
        <v>5</v>
      </c>
      <c r="C9" s="5" t="s">
        <v>15</v>
      </c>
      <c r="D9" s="8">
        <v>645</v>
      </c>
      <c r="E9" s="8">
        <v>2665</v>
      </c>
      <c r="F9" s="8">
        <f t="shared" si="0"/>
        <v>3310</v>
      </c>
      <c r="G9" s="8">
        <v>485</v>
      </c>
      <c r="H9" s="8">
        <v>365</v>
      </c>
      <c r="I9" s="8">
        <f t="shared" si="1"/>
        <v>850</v>
      </c>
      <c r="J9" s="8">
        <f t="shared" si="2"/>
        <v>1130</v>
      </c>
      <c r="K9" s="8">
        <f t="shared" si="3"/>
        <v>3030</v>
      </c>
      <c r="L9" s="8">
        <f t="shared" si="4"/>
        <v>4160</v>
      </c>
    </row>
    <row r="10" spans="1:12" x14ac:dyDescent="0.25">
      <c r="A10" s="4">
        <v>2569</v>
      </c>
      <c r="B10" s="4">
        <v>6</v>
      </c>
      <c r="C10" s="5" t="s">
        <v>16</v>
      </c>
      <c r="D10" s="8">
        <v>646</v>
      </c>
      <c r="E10" s="8">
        <v>2668</v>
      </c>
      <c r="F10" s="8">
        <f t="shared" si="0"/>
        <v>3314</v>
      </c>
      <c r="G10" s="8">
        <v>486</v>
      </c>
      <c r="H10" s="8">
        <v>366</v>
      </c>
      <c r="I10" s="8">
        <f t="shared" si="1"/>
        <v>852</v>
      </c>
      <c r="J10" s="8">
        <f t="shared" si="2"/>
        <v>1132</v>
      </c>
      <c r="K10" s="8">
        <f t="shared" si="3"/>
        <v>3034</v>
      </c>
      <c r="L10" s="8">
        <f t="shared" si="4"/>
        <v>4166</v>
      </c>
    </row>
    <row r="11" spans="1:12" x14ac:dyDescent="0.25">
      <c r="A11" s="4">
        <v>2569</v>
      </c>
      <c r="B11" s="4">
        <v>7</v>
      </c>
      <c r="C11" s="5" t="s">
        <v>17</v>
      </c>
      <c r="D11" s="8">
        <v>647</v>
      </c>
      <c r="E11" s="8">
        <v>2671</v>
      </c>
      <c r="F11" s="8">
        <f t="shared" si="0"/>
        <v>3318</v>
      </c>
      <c r="G11" s="8">
        <v>487</v>
      </c>
      <c r="H11" s="8">
        <v>367</v>
      </c>
      <c r="I11" s="8">
        <f t="shared" si="1"/>
        <v>854</v>
      </c>
      <c r="J11" s="8">
        <f t="shared" si="2"/>
        <v>1134</v>
      </c>
      <c r="K11" s="8">
        <f t="shared" si="3"/>
        <v>3038</v>
      </c>
      <c r="L11" s="8">
        <f t="shared" si="4"/>
        <v>4172</v>
      </c>
    </row>
    <row r="12" spans="1:12" x14ac:dyDescent="0.25">
      <c r="A12" s="4">
        <v>2569</v>
      </c>
      <c r="B12" s="4">
        <v>8</v>
      </c>
      <c r="C12" s="5" t="s">
        <v>18</v>
      </c>
      <c r="D12" s="8">
        <v>648</v>
      </c>
      <c r="E12" s="8">
        <v>2674</v>
      </c>
      <c r="F12" s="8">
        <f t="shared" si="0"/>
        <v>3322</v>
      </c>
      <c r="G12" s="8">
        <v>488</v>
      </c>
      <c r="H12" s="8">
        <v>368</v>
      </c>
      <c r="I12" s="8">
        <f t="shared" si="1"/>
        <v>856</v>
      </c>
      <c r="J12" s="8">
        <f t="shared" si="2"/>
        <v>1136</v>
      </c>
      <c r="K12" s="8">
        <f t="shared" si="3"/>
        <v>3042</v>
      </c>
      <c r="L12" s="8">
        <f t="shared" si="4"/>
        <v>4178</v>
      </c>
    </row>
    <row r="13" spans="1:12" x14ac:dyDescent="0.25">
      <c r="A13" s="4">
        <v>2569</v>
      </c>
      <c r="B13" s="4">
        <v>9</v>
      </c>
      <c r="C13" s="5" t="s">
        <v>19</v>
      </c>
      <c r="D13" s="8">
        <v>649</v>
      </c>
      <c r="E13" s="8">
        <v>2677</v>
      </c>
      <c r="F13" s="8">
        <f t="shared" si="0"/>
        <v>3326</v>
      </c>
      <c r="G13" s="8">
        <v>489</v>
      </c>
      <c r="H13" s="8">
        <v>369</v>
      </c>
      <c r="I13" s="8">
        <f t="shared" si="1"/>
        <v>858</v>
      </c>
      <c r="J13" s="8">
        <f t="shared" si="2"/>
        <v>1138</v>
      </c>
      <c r="K13" s="8">
        <f t="shared" si="3"/>
        <v>3046</v>
      </c>
      <c r="L13" s="8">
        <f t="shared" si="4"/>
        <v>4184</v>
      </c>
    </row>
    <row r="14" spans="1:12" x14ac:dyDescent="0.25">
      <c r="A14" s="4">
        <v>2569</v>
      </c>
      <c r="B14" s="4">
        <v>10</v>
      </c>
      <c r="C14" s="5" t="s">
        <v>20</v>
      </c>
      <c r="D14" s="8">
        <v>650</v>
      </c>
      <c r="E14" s="8">
        <v>2680</v>
      </c>
      <c r="F14" s="8">
        <f t="shared" si="0"/>
        <v>3330</v>
      </c>
      <c r="G14" s="8">
        <v>490</v>
      </c>
      <c r="H14" s="8">
        <v>370</v>
      </c>
      <c r="I14" s="8">
        <f t="shared" si="1"/>
        <v>860</v>
      </c>
      <c r="J14" s="8">
        <f t="shared" si="2"/>
        <v>1140</v>
      </c>
      <c r="K14" s="8">
        <f t="shared" si="3"/>
        <v>3050</v>
      </c>
      <c r="L14" s="8">
        <f t="shared" si="4"/>
        <v>4190</v>
      </c>
    </row>
    <row r="15" spans="1:12" x14ac:dyDescent="0.25">
      <c r="A15" s="4">
        <v>2569</v>
      </c>
      <c r="B15" s="4">
        <v>11</v>
      </c>
      <c r="C15" s="5" t="s">
        <v>21</v>
      </c>
      <c r="D15" s="8">
        <v>651</v>
      </c>
      <c r="E15" s="8">
        <v>2683</v>
      </c>
      <c r="F15" s="8">
        <f t="shared" si="0"/>
        <v>3334</v>
      </c>
      <c r="G15" s="8">
        <v>491</v>
      </c>
      <c r="H15" s="8">
        <v>371</v>
      </c>
      <c r="I15" s="8">
        <f t="shared" si="1"/>
        <v>862</v>
      </c>
      <c r="J15" s="8">
        <f t="shared" si="2"/>
        <v>1142</v>
      </c>
      <c r="K15" s="8">
        <f t="shared" si="3"/>
        <v>3054</v>
      </c>
      <c r="L15" s="8">
        <f t="shared" si="4"/>
        <v>4196</v>
      </c>
    </row>
    <row r="16" spans="1:12" x14ac:dyDescent="0.25">
      <c r="A16" s="4">
        <v>2569</v>
      </c>
      <c r="B16" s="4">
        <v>12</v>
      </c>
      <c r="C16" s="5" t="s">
        <v>22</v>
      </c>
      <c r="D16" s="8">
        <v>652</v>
      </c>
      <c r="E16" s="8">
        <v>2686</v>
      </c>
      <c r="F16" s="8">
        <f t="shared" si="0"/>
        <v>3338</v>
      </c>
      <c r="G16" s="8">
        <v>492</v>
      </c>
      <c r="H16" s="8">
        <v>372</v>
      </c>
      <c r="I16" s="8">
        <f t="shared" si="1"/>
        <v>864</v>
      </c>
      <c r="J16" s="8">
        <f t="shared" si="2"/>
        <v>1144</v>
      </c>
      <c r="K16" s="8">
        <f t="shared" si="3"/>
        <v>3058</v>
      </c>
      <c r="L16" s="8">
        <f t="shared" si="4"/>
        <v>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topLeftCell="A2" zoomScale="115" zoomScaleNormal="115" workbookViewId="0">
      <selection activeCell="D8" sqref="D8:D10"/>
    </sheetView>
  </sheetViews>
  <sheetFormatPr defaultRowHeight="15" x14ac:dyDescent="0.25"/>
  <cols>
    <col min="1" max="3" width="14" customWidth="1"/>
    <col min="4" max="4" width="49.28515625" bestFit="1" customWidth="1"/>
    <col min="5" max="5" width="22" customWidth="1"/>
    <col min="6" max="6" width="23" customWidth="1"/>
    <col min="7" max="7" width="25" customWidth="1"/>
    <col min="8" max="8" width="27" customWidth="1"/>
  </cols>
  <sheetData>
    <row r="1" spans="1:8" ht="21" x14ac:dyDescent="0.35">
      <c r="A1" s="1" t="s">
        <v>23</v>
      </c>
    </row>
    <row r="2" spans="1:8" x14ac:dyDescent="0.25">
      <c r="A2" s="2" t="s">
        <v>24</v>
      </c>
    </row>
    <row r="4" spans="1:8" ht="24.95" customHeight="1" x14ac:dyDescent="0.25">
      <c r="A4" s="3" t="s">
        <v>25</v>
      </c>
      <c r="B4" s="3" t="s">
        <v>26</v>
      </c>
      <c r="C4" s="3" t="s">
        <v>4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ht="24.75" customHeight="1" x14ac:dyDescent="0.25">
      <c r="A5" s="4">
        <v>2569</v>
      </c>
      <c r="B5" s="4">
        <v>6</v>
      </c>
      <c r="C5" s="5" t="s">
        <v>16</v>
      </c>
      <c r="D5" s="5" t="s">
        <v>54</v>
      </c>
      <c r="E5" s="6"/>
      <c r="F5" s="6"/>
      <c r="G5" s="6"/>
      <c r="H5" s="7"/>
    </row>
    <row r="6" spans="1:8" ht="24.75" customHeight="1" x14ac:dyDescent="0.25">
      <c r="A6" s="4">
        <v>2569</v>
      </c>
      <c r="B6" s="4">
        <v>6</v>
      </c>
      <c r="C6" s="5" t="s">
        <v>16</v>
      </c>
      <c r="D6" s="5"/>
      <c r="E6" s="6"/>
      <c r="F6" s="6"/>
      <c r="G6" s="6"/>
      <c r="H6" s="7"/>
    </row>
    <row r="7" spans="1:8" ht="24.75" customHeight="1" x14ac:dyDescent="0.25">
      <c r="A7" s="4">
        <v>2569</v>
      </c>
      <c r="B7" s="4">
        <v>6</v>
      </c>
      <c r="C7" s="5" t="s">
        <v>16</v>
      </c>
      <c r="D7" s="5"/>
      <c r="E7" s="6"/>
      <c r="F7" s="6"/>
      <c r="G7" s="6"/>
      <c r="H7" s="7"/>
    </row>
    <row r="8" spans="1:8" ht="24.75" customHeight="1" x14ac:dyDescent="0.25">
      <c r="A8" s="4">
        <v>2569</v>
      </c>
      <c r="B8" s="4">
        <v>6</v>
      </c>
      <c r="C8" s="5" t="s">
        <v>16</v>
      </c>
      <c r="D8" s="10" t="s">
        <v>55</v>
      </c>
      <c r="E8" s="6"/>
      <c r="F8" s="6"/>
      <c r="G8" s="6"/>
      <c r="H8" s="7"/>
    </row>
    <row r="9" spans="1:8" x14ac:dyDescent="0.25">
      <c r="D9" s="10" t="s">
        <v>56</v>
      </c>
    </row>
    <row r="10" spans="1:8" x14ac:dyDescent="0.25">
      <c r="D10" s="10" t="s">
        <v>57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A6" sqref="A6:A8"/>
    </sheetView>
  </sheetViews>
  <sheetFormatPr defaultRowHeight="15" x14ac:dyDescent="0.25"/>
  <cols>
    <col min="1" max="1" width="52" customWidth="1"/>
    <col min="2" max="2" width="20" customWidth="1"/>
    <col min="3" max="3" width="15" customWidth="1"/>
    <col min="4" max="4" width="20" customWidth="1"/>
    <col min="5" max="5" width="15" customWidth="1"/>
  </cols>
  <sheetData>
    <row r="1" spans="1:5" ht="21" x14ac:dyDescent="0.35">
      <c r="A1" s="1" t="s">
        <v>43</v>
      </c>
    </row>
    <row r="2" spans="1:5" x14ac:dyDescent="0.25">
      <c r="A2" s="2" t="s">
        <v>44</v>
      </c>
    </row>
    <row r="4" spans="1:5" x14ac:dyDescent="0.25">
      <c r="A4" s="11" t="s">
        <v>45</v>
      </c>
      <c r="B4" s="11" t="s">
        <v>46</v>
      </c>
      <c r="C4" s="12"/>
      <c r="D4" s="11" t="s">
        <v>47</v>
      </c>
      <c r="E4" s="12"/>
    </row>
    <row r="5" spans="1:5" x14ac:dyDescent="0.25">
      <c r="A5" s="12"/>
      <c r="B5" s="9" t="s">
        <v>48</v>
      </c>
      <c r="C5" s="9" t="s">
        <v>49</v>
      </c>
      <c r="D5" s="9" t="s">
        <v>48</v>
      </c>
      <c r="E5" s="9" t="s">
        <v>49</v>
      </c>
    </row>
    <row r="6" spans="1:5" x14ac:dyDescent="0.25">
      <c r="A6" s="10" t="s">
        <v>53</v>
      </c>
      <c r="B6" s="9"/>
      <c r="C6" s="9"/>
      <c r="D6" s="9"/>
      <c r="E6" s="9"/>
    </row>
    <row r="7" spans="1:5" x14ac:dyDescent="0.25">
      <c r="A7" s="10" t="s">
        <v>51</v>
      </c>
      <c r="B7" s="9"/>
      <c r="C7" s="9"/>
      <c r="D7" s="9"/>
      <c r="E7" s="9"/>
    </row>
    <row r="8" spans="1:5" x14ac:dyDescent="0.25">
      <c r="A8" s="10" t="s">
        <v>50</v>
      </c>
      <c r="B8" s="6">
        <v>10000</v>
      </c>
      <c r="C8" s="7" t="e">
        <f>B8/#REF!</f>
        <v>#REF!</v>
      </c>
      <c r="D8" s="6">
        <v>10000</v>
      </c>
      <c r="E8" s="7" t="e">
        <f>D8/#REF!</f>
        <v>#REF!</v>
      </c>
    </row>
    <row r="9" spans="1:5" x14ac:dyDescent="0.25">
      <c r="B9" s="6">
        <v>1230000</v>
      </c>
      <c r="C9" s="7" t="e">
        <f>B9/#REF!</f>
        <v>#REF!</v>
      </c>
      <c r="D9" s="6">
        <v>500000</v>
      </c>
      <c r="E9" s="7" t="e">
        <f>D9/#REF!</f>
        <v>#REF!</v>
      </c>
    </row>
    <row r="10" spans="1:5" x14ac:dyDescent="0.25">
      <c r="B10" s="6"/>
      <c r="C10" s="7"/>
      <c r="D10" s="6"/>
      <c r="E10" s="7"/>
    </row>
    <row r="11" spans="1:5" x14ac:dyDescent="0.25">
      <c r="A11" s="10" t="s">
        <v>52</v>
      </c>
      <c r="B11" s="6">
        <v>2370000</v>
      </c>
      <c r="C11" s="7" t="e">
        <f>B11/#REF!</f>
        <v>#REF!</v>
      </c>
      <c r="D11" s="6">
        <v>1500000</v>
      </c>
      <c r="E11" s="7" t="e">
        <f>D11/#REF!</f>
        <v>#REF!</v>
      </c>
    </row>
    <row r="12" spans="1:5" x14ac:dyDescent="0.25">
      <c r="B12" s="6">
        <v>300000</v>
      </c>
      <c r="C12" s="7" t="e">
        <f>B12/#REF!</f>
        <v>#REF!</v>
      </c>
      <c r="D12" s="6">
        <v>0</v>
      </c>
      <c r="E12" s="7" t="e">
        <f>D12/#REF!</f>
        <v>#REF!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Financial_Data</vt:lpstr>
      <vt:lpstr>Member_Data</vt:lpstr>
      <vt:lpstr>Fund_Data</vt:lpstr>
      <vt:lpstr>Profit_Allocation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ดำรงค์ เหล่ทองคำ</cp:lastModifiedBy>
  <cp:lastPrinted>2026-07-23T09:02:49Z</cp:lastPrinted>
  <dcterms:created xsi:type="dcterms:W3CDTF">2026-07-21T02:29:24Z</dcterms:created>
  <dcterms:modified xsi:type="dcterms:W3CDTF">2026-07-24T09:00:30Z</dcterms:modified>
</cp:coreProperties>
</file>